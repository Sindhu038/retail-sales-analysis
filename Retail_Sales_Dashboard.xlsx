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Desktop\Project1_RetailSales\"/>
    </mc:Choice>
  </mc:AlternateContent>
  <xr:revisionPtr revIDLastSave="0" documentId="13_ncr:1_{5A53B13A-B5FC-4F4D-A1D9-8D3B587DFE93}" xr6:coauthVersionLast="47" xr6:coauthVersionMax="47" xr10:uidLastSave="{00000000-0000-0000-0000-000000000000}"/>
  <bookViews>
    <workbookView xWindow="-108" yWindow="-108" windowWidth="23256" windowHeight="12456" activeTab="4" xr2:uid="{E28FC507-DA8A-41DA-8F1A-1DA55BE81CEC}"/>
  </bookViews>
  <sheets>
    <sheet name="Region" sheetId="1" r:id="rId1"/>
    <sheet name="Products" sheetId="2" r:id="rId2"/>
    <sheet name="Category" sheetId="3" r:id="rId3"/>
    <sheet name="Segment " sheetId="4" r:id="rId4"/>
    <sheet name="Dashboard" sheetId="5" r:id="rId5"/>
  </sheets>
  <definedNames>
    <definedName name="_xlchart.v1.0" hidden="1">Category!$A$2:$A$4</definedName>
    <definedName name="_xlchart.v1.1" hidden="1">Category!$B$1</definedName>
    <definedName name="_xlchart.v1.2" hidden="1">Category!$B$2:$B$4</definedName>
    <definedName name="_xlchart.v1.3" hidden="1">Category!$C$1</definedName>
    <definedName name="_xlchart.v1.4" hidden="1">Category!$C$2:$C$4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2" i="3"/>
</calcChain>
</file>

<file path=xl/sharedStrings.xml><?xml version="1.0" encoding="utf-8"?>
<sst xmlns="http://schemas.openxmlformats.org/spreadsheetml/2006/main" count="31" uniqueCount="28">
  <si>
    <t>Region</t>
  </si>
  <si>
    <t>Total_Revenue</t>
  </si>
  <si>
    <t>West</t>
  </si>
  <si>
    <t>East</t>
  </si>
  <si>
    <t>Central</t>
  </si>
  <si>
    <t>South</t>
  </si>
  <si>
    <t>Product_Name</t>
  </si>
  <si>
    <t>Total_Sales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</si>
  <si>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</si>
  <si>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</si>
  <si>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</si>
  <si>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</si>
  <si>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</si>
  <si>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</si>
  <si>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</si>
  <si>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 Color""</t>
  </si>
  <si>
    <t>GBC DocuBind P400 Electric Binding System</t>
  </si>
  <si>
    <t>High Speed Automatic Electric Letter Opener</t>
  </si>
  <si>
    <t>Category</t>
  </si>
  <si>
    <t>Total_Profit</t>
  </si>
  <si>
    <t>Technology</t>
  </si>
  <si>
    <t>Furniture</t>
  </si>
  <si>
    <t>Office Supplies</t>
  </si>
  <si>
    <t>Segment</t>
  </si>
  <si>
    <t>Consumer</t>
  </si>
  <si>
    <t>Corporate</t>
  </si>
  <si>
    <t>Home Office</t>
  </si>
  <si>
    <t>Profit_Margin_%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</si>
</sst>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sz val="22"/>
      <color rgb="FF0070C0"/>
      <name val="Times New Roman"/>
      <family val="1"/>
    </font>
    <font>
      <sz val="2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5" fillId="2" borderId="0" xfId="0" applyFont="1" applyFill="1"/>
    <xf numFmtId="0" fontId="6" fillId="0" borderId="0" xfId="0" applyFont="1"/>
    <xf numFmtId="2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0" fillId="2" borderId="0" xfId="0" applyFill="1" applyAlignment="1">
      <alignment textRotation="13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  <color rgb="FFCD493B"/>
      <color rgb="FF1A355E"/>
      <color rgb="FF91A6F1"/>
      <color rgb="FFF0181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Distribution by Region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Region!$B$2:$B$5</c:f>
              <c:numCache>
                <c:formatCode>General</c:formatCode>
                <c:ptCount val="4"/>
                <c:pt idx="0">
                  <c:v>713471.45</c:v>
                </c:pt>
                <c:pt idx="1">
                  <c:v>672194.15</c:v>
                </c:pt>
                <c:pt idx="2">
                  <c:v>497800.88</c:v>
                </c:pt>
                <c:pt idx="3">
                  <c:v>388983.59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8-4FD8-8BDD-5168B94B3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67408"/>
        <c:axId val="41576528"/>
      </c:barChart>
      <c:catAx>
        <c:axId val="415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6528"/>
        <c:crosses val="autoZero"/>
        <c:auto val="1"/>
        <c:lblAlgn val="ctr"/>
        <c:lblOffset val="100"/>
        <c:noMultiLvlLbl val="0"/>
      </c:catAx>
      <c:valAx>
        <c:axId val="41576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bg1">
                      <a:lumMod val="7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noFill/>
      <a:round/>
    </a:ln>
    <a:effectLst/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Products by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 Color""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Products!$B$2:$B$11</c:f>
              <c:numCache>
                <c:formatCode>General</c:formatCode>
                <c:ptCount val="10"/>
                <c:pt idx="0">
                  <c:v>61599.83</c:v>
                </c:pt>
                <c:pt idx="1">
                  <c:v>27453.38</c:v>
                </c:pt>
                <c:pt idx="2">
                  <c:v>22638.48</c:v>
                </c:pt>
                <c:pt idx="3">
                  <c:v>21870.57</c:v>
                </c:pt>
                <c:pt idx="4">
                  <c:v>19823.48</c:v>
                </c:pt>
                <c:pt idx="5">
                  <c:v>19024.5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A-4EAD-958B-C425DADD3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84688"/>
        <c:axId val="41585648"/>
      </c:barChart>
      <c:catAx>
        <c:axId val="41584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5648"/>
        <c:crosses val="autoZero"/>
        <c:auto val="1"/>
        <c:lblAlgn val="ctr"/>
        <c:lblOffset val="100"/>
        <c:noMultiLvlLbl val="0"/>
      </c:catAx>
      <c:valAx>
        <c:axId val="4158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&amp; Profit by Product Category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Category!$A$2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F857-40A4-A796-1D6721ABE0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857-40A4-A796-1D6721ABE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F857-40A4-A796-1D6721ABE02B}"/>
              </c:ext>
            </c:extLst>
          </c:dPt>
          <c:cat>
            <c:strRef>
              <c:f>Category!$B$1:$C$1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Category!$B$2:$C$2</c:f>
              <c:numCache>
                <c:formatCode>General</c:formatCode>
                <c:ptCount val="2"/>
                <c:pt idx="0">
                  <c:v>835900.14</c:v>
                </c:pt>
                <c:pt idx="1">
                  <c:v>145387.81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7-41A3-A30D-4EB6798A4E53}"/>
            </c:ext>
          </c:extLst>
        </c:ser>
        <c:ser>
          <c:idx val="1"/>
          <c:order val="1"/>
          <c:tx>
            <c:strRef>
              <c:f>Category!$A$3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B w="114300" prst="artDeco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7-F857-40A4-A796-1D6721ABE02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9-F857-40A4-A796-1D6721ABE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B-F857-40A4-A796-1D6721ABE02B}"/>
              </c:ext>
            </c:extLst>
          </c:dPt>
          <c:cat>
            <c:strRef>
              <c:f>Category!$B$1:$C$1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Category!$B$3:$C$3</c:f>
              <c:numCache>
                <c:formatCode>General</c:formatCode>
                <c:ptCount val="2"/>
                <c:pt idx="0">
                  <c:v>733047.06</c:v>
                </c:pt>
                <c:pt idx="1">
                  <c:v>16980.72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7-41A3-A30D-4EB6798A4E53}"/>
            </c:ext>
          </c:extLst>
        </c:ser>
        <c:ser>
          <c:idx val="2"/>
          <c:order val="2"/>
          <c:tx>
            <c:strRef>
              <c:f>Category!$A$4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Category!$B$4:$C$4</c:f>
              <c:numCache>
                <c:formatCode>General</c:formatCode>
                <c:ptCount val="2"/>
                <c:pt idx="0">
                  <c:v>703502.87</c:v>
                </c:pt>
                <c:pt idx="1">
                  <c:v>120489.93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28-4239-ADB4-50C695915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6630288"/>
        <c:axId val="446627408"/>
      </c:barChart>
      <c:valAx>
        <c:axId val="44662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30288"/>
        <c:crossBetween val="between"/>
      </c:valAx>
      <c:catAx>
        <c:axId val="44663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274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&amp; Profit by Customer Segment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'Segment '!$A$2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1-0BAC-43D6-9FE9-A3DF6938F4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0BAC-43D6-9FE9-A3DF6938F4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0BAC-43D6-9FE9-A3DF6938F435}"/>
              </c:ext>
            </c:extLst>
          </c:dPt>
          <c:cat>
            <c:strRef>
              <c:f>'Segment '!$B$1:$C$1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'Segment '!$B$2:$C$2</c:f>
              <c:numCache>
                <c:formatCode>General</c:formatCode>
                <c:ptCount val="2"/>
                <c:pt idx="0">
                  <c:v>1150166.18</c:v>
                </c:pt>
                <c:pt idx="1">
                  <c:v>132669.88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E-4CC9-B509-EAEA926095A6}"/>
            </c:ext>
          </c:extLst>
        </c:ser>
        <c:ser>
          <c:idx val="1"/>
          <c:order val="1"/>
          <c:tx>
            <c:strRef>
              <c:f>'Segment '!$A$3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AC-43D6-9FE9-A3DF6938F4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AC-43D6-9FE9-A3DF6938F4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BAC-43D6-9FE9-A3DF6938F435}"/>
              </c:ext>
            </c:extLst>
          </c:dPt>
          <c:cat>
            <c:strRef>
              <c:f>'Segment '!$B$1:$C$1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'Segment '!$B$3:$C$3</c:f>
              <c:numCache>
                <c:formatCode>General</c:formatCode>
                <c:ptCount val="2"/>
                <c:pt idx="0">
                  <c:v>696604.6</c:v>
                </c:pt>
                <c:pt idx="1">
                  <c:v>90366.57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E-4CC9-B509-EAEA926095A6}"/>
            </c:ext>
          </c:extLst>
        </c:ser>
        <c:ser>
          <c:idx val="2"/>
          <c:order val="2"/>
          <c:tx>
            <c:strRef>
              <c:f>'Segment '!$A$4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'!$B$1:$C$1</c:f>
              <c:strCache>
                <c:ptCount val="2"/>
                <c:pt idx="0">
                  <c:v>Total_Sales</c:v>
                </c:pt>
                <c:pt idx="1">
                  <c:v>Total_Profit</c:v>
                </c:pt>
              </c:strCache>
            </c:strRef>
          </c:cat>
          <c:val>
            <c:numRef>
              <c:f>'Segment '!$B$4:$C$4</c:f>
              <c:numCache>
                <c:formatCode>General</c:formatCode>
                <c:ptCount val="2"/>
                <c:pt idx="0">
                  <c:v>425679.29</c:v>
                </c:pt>
                <c:pt idx="1">
                  <c:v>59822.01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BAC-43D6-9FE9-A3DF6938F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96108448"/>
        <c:axId val="296107968"/>
      </c:barChart>
      <c:valAx>
        <c:axId val="29610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8448"/>
        <c:crossBetween val="between"/>
      </c:valAx>
      <c:catAx>
        <c:axId val="296108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079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/>
      <a:bevelB prst="angle"/>
    </a:sp3d>
  </c:spPr>
  <c:txPr>
    <a:bodyPr/>
    <a:lstStyle/>
    <a:p>
      <a:pPr>
        <a:defRPr>
          <a:solidFill>
            <a:srgbClr val="00206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none" baseline="0"/>
              <a:t>Profit Margin by Category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3064799545835"/>
          <c:y val="0.20791955443314972"/>
          <c:w val="0.87266935200454165"/>
          <c:h val="0.7071090618911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Category!$D$1</c:f>
              <c:strCache>
                <c:ptCount val="1"/>
                <c:pt idx="0">
                  <c:v>Profit_Margin_%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Category!$A$2:$A$4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Category!$D$2:$D$4</c:f>
              <c:numCache>
                <c:formatCode>0.00</c:formatCode>
                <c:ptCount val="3"/>
                <c:pt idx="0">
                  <c:v>17.392963949019077</c:v>
                </c:pt>
                <c:pt idx="1">
                  <c:v>2.3164570089129066</c:v>
                </c:pt>
                <c:pt idx="2">
                  <c:v>17.127141215500654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8-4B2B-AD8E-715269EF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8104047"/>
        <c:axId val="1638574815"/>
      </c:barChart>
      <c:catAx>
        <c:axId val="163810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74815"/>
        <c:crosses val="autoZero"/>
        <c:auto val="1"/>
        <c:lblAlgn val="ctr"/>
        <c:lblOffset val="100"/>
        <c:noMultiLvlLbl val="0"/>
      </c:catAx>
      <c:valAx>
        <c:axId val="16385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0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496186</xdr:colOff>
      <xdr:row>10</xdr:row>
      <xdr:rowOff>2639</xdr:rowOff>
    </xdr:from>
    <xdr:to>
      <xdr:col>16</xdr:col>
      <xdr:colOff>215060</xdr:colOff>
      <xdr:row>27</xdr:row>
      <xdr:rowOff>155967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BA1C9D-C182-6FB6-9C63-032D81B7A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428584</xdr:colOff>
      <xdr:row>10</xdr:row>
      <xdr:rowOff>2793</xdr:rowOff>
    </xdr:from>
    <xdr:to>
      <xdr:col>28</xdr:col>
      <xdr:colOff>265814</xdr:colOff>
      <xdr:row>27</xdr:row>
      <xdr:rowOff>134908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D6B33B8-7B8E-42F8-55AB-3FEF45942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49020</xdr:colOff>
      <xdr:row>28</xdr:row>
      <xdr:rowOff>121684</xdr:rowOff>
    </xdr:from>
    <xdr:to>
      <xdr:col>21</xdr:col>
      <xdr:colOff>75905</xdr:colOff>
      <xdr:row>48</xdr:row>
      <xdr:rowOff>77331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C46A30E-623E-EFBE-89DE-6E8427CD0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10042</xdr:colOff>
      <xdr:row>28</xdr:row>
      <xdr:rowOff>119958</xdr:rowOff>
    </xdr:from>
    <xdr:to>
      <xdr:col>11</xdr:col>
      <xdr:colOff>559391</xdr:colOff>
      <xdr:row>48</xdr:row>
      <xdr:rowOff>96374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938EDAF-52B1-7905-6BAF-55873FD3C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178698</xdr:colOff>
      <xdr:row>0</xdr:row>
      <xdr:rowOff>158147</xdr:rowOff>
    </xdr:from>
    <xdr:to>
      <xdr:col>20</xdr:col>
      <xdr:colOff>422837</xdr:colOff>
      <xdr:row>3</xdr:row>
      <xdr:rowOff>224240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100ECE1-AA9A-1808-AE7F-810057A51379}"/>
            </a:ext>
          </a:extLst>
        </xdr:cNvPr>
        <xdr:cNvSpPr/>
      </xdr:nvSpPr>
      <xdr:spPr>
        <a:xfrm>
          <a:off x="6964127" y="158147"/>
          <a:ext cx="5795853" cy="79180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179313</xdr:colOff>
      <xdr:row>28</xdr:row>
      <xdr:rowOff>142574</xdr:rowOff>
    </xdr:from>
    <xdr:to>
      <xdr:col>30</xdr:col>
      <xdr:colOff>174551</xdr:colOff>
      <xdr:row>48</xdr:row>
      <xdr:rowOff>73505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8149847C-ACF0-F801-5893-DBF908737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24516</xdr:colOff>
      <xdr:row>5</xdr:row>
      <xdr:rowOff>47809</xdr:rowOff>
    </xdr:from>
    <xdr:to>
      <xdr:col>10</xdr:col>
      <xdr:colOff>528105</xdr:colOff>
      <xdr:row>8</xdr:row>
      <xdr:rowOff>36612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BC104C4-43AE-7099-B433-C8A32118561C}"/>
            </a:ext>
          </a:extLst>
        </xdr:cNvPr>
        <xdr:cNvSpPr/>
      </xdr:nvSpPr>
      <xdr:spPr>
        <a:xfrm>
          <a:off x="4935183" y="1233142"/>
          <a:ext cx="1731255" cy="793137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9050">
          <a:solidFill>
            <a:srgbClr val="1A355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2">
                  <a:lumMod val="75000"/>
                </a:schemeClr>
              </a:solidFill>
            </a:rPr>
            <a:t>       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TOTAL REVENUE</a:t>
          </a:r>
        </a:p>
        <a:p>
          <a:pPr algn="l"/>
          <a:r>
            <a:rPr lang="en-IN" sz="2000" baseline="0">
              <a:solidFill>
                <a:schemeClr val="tx2">
                  <a:lumMod val="75000"/>
                </a:schemeClr>
              </a:solidFill>
            </a:rPr>
            <a:t>    </a:t>
          </a:r>
          <a:r>
            <a:rPr lang="en-IN" sz="1800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IN" sz="2000" baseline="0">
              <a:solidFill>
                <a:srgbClr val="1A355E"/>
              </a:solidFill>
            </a:rPr>
            <a:t>$</a:t>
          </a:r>
          <a:r>
            <a:rPr lang="en-IN" sz="2200" baseline="0">
              <a:solidFill>
                <a:srgbClr val="1A355E"/>
              </a:solidFill>
            </a:rPr>
            <a:t>2.27M </a:t>
          </a:r>
          <a:endParaRPr lang="en-IN" sz="2200" baseline="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116296</xdr:colOff>
      <xdr:row>5</xdr:row>
      <xdr:rowOff>57534</xdr:rowOff>
    </xdr:from>
    <xdr:to>
      <xdr:col>14</xdr:col>
      <xdr:colOff>3026</xdr:colOff>
      <xdr:row>8</xdr:row>
      <xdr:rowOff>47808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A7D0135-9A18-4C1A-A8BA-D16D1CE8A49E}"/>
            </a:ext>
          </a:extLst>
        </xdr:cNvPr>
        <xdr:cNvSpPr/>
      </xdr:nvSpPr>
      <xdr:spPr>
        <a:xfrm>
          <a:off x="6768677" y="1218677"/>
          <a:ext cx="1701016" cy="7885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9050">
          <a:solidFill>
            <a:srgbClr val="92D050"/>
          </a:solidFill>
        </a:ln>
        <a:effectLst>
          <a:outerShdw blurRad="50800" dist="38100" dir="2700000" algn="tl" rotWithShape="0">
            <a:srgbClr val="92D050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2">
                  <a:lumMod val="75000"/>
                </a:schemeClr>
              </a:solidFill>
            </a:rPr>
            <a:t>         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TOTAL PROFIT</a:t>
          </a:r>
        </a:p>
        <a:p>
          <a:pPr algn="l"/>
          <a:r>
            <a:rPr lang="en-IN" sz="2000" baseline="0">
              <a:solidFill>
                <a:schemeClr val="tx2">
                  <a:lumMod val="75000"/>
                </a:schemeClr>
              </a:solidFill>
            </a:rPr>
            <a:t>    </a:t>
          </a:r>
          <a:r>
            <a:rPr lang="en-IN" sz="1800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IN" sz="2000" baseline="0">
              <a:solidFill>
                <a:srgbClr val="1A355E"/>
              </a:solidFill>
            </a:rPr>
            <a:t>$</a:t>
          </a:r>
          <a:r>
            <a:rPr lang="en-IN" sz="2200" baseline="0">
              <a:solidFill>
                <a:srgbClr val="1A355E"/>
              </a:solidFill>
            </a:rPr>
            <a:t>282.8K </a:t>
          </a:r>
          <a:endParaRPr lang="en-IN" sz="2200" baseline="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220492</xdr:colOff>
      <xdr:row>5</xdr:row>
      <xdr:rowOff>67830</xdr:rowOff>
    </xdr:from>
    <xdr:to>
      <xdr:col>17</xdr:col>
      <xdr:colOff>110247</xdr:colOff>
      <xdr:row>8</xdr:row>
      <xdr:rowOff>58104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4CF95E0-56E9-4ACA-9492-D2B633EA4978}"/>
            </a:ext>
          </a:extLst>
        </xdr:cNvPr>
        <xdr:cNvSpPr/>
      </xdr:nvSpPr>
      <xdr:spPr>
        <a:xfrm>
          <a:off x="8687159" y="1228973"/>
          <a:ext cx="1704040" cy="7885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9050">
          <a:solidFill>
            <a:srgbClr val="1A355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2">
                  <a:lumMod val="75000"/>
                </a:schemeClr>
              </a:solidFill>
            </a:rPr>
            <a:t>         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TOP REGION</a:t>
          </a:r>
        </a:p>
        <a:p>
          <a:pPr algn="l"/>
          <a:r>
            <a:rPr lang="en-IN" sz="2000" baseline="0">
              <a:solidFill>
                <a:schemeClr val="tx2">
                  <a:lumMod val="75000"/>
                </a:schemeClr>
              </a:solidFill>
            </a:rPr>
            <a:t>    </a:t>
          </a:r>
          <a:r>
            <a:rPr lang="en-IN" sz="1800" baseline="0">
              <a:solidFill>
                <a:schemeClr val="tx2">
                  <a:lumMod val="75000"/>
                </a:schemeClr>
              </a:solidFill>
            </a:rPr>
            <a:t>   </a:t>
          </a:r>
          <a:r>
            <a:rPr lang="en-IN" sz="2000" baseline="0">
              <a:solidFill>
                <a:srgbClr val="1A355E"/>
              </a:solidFill>
            </a:rPr>
            <a:t>WEST</a:t>
          </a:r>
          <a:r>
            <a:rPr lang="en-IN" sz="2200" baseline="0">
              <a:solidFill>
                <a:srgbClr val="1A355E"/>
              </a:solidFill>
            </a:rPr>
            <a:t> </a:t>
          </a:r>
          <a:endParaRPr lang="en-IN" sz="2200" baseline="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342047</xdr:colOff>
      <xdr:row>5</xdr:row>
      <xdr:rowOff>75676</xdr:rowOff>
    </xdr:from>
    <xdr:to>
      <xdr:col>20</xdr:col>
      <xdr:colOff>330985</xdr:colOff>
      <xdr:row>8</xdr:row>
      <xdr:rowOff>65950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214BEF6-6BD0-4851-9063-BBFE75E5F1B7}"/>
            </a:ext>
          </a:extLst>
        </xdr:cNvPr>
        <xdr:cNvSpPr/>
      </xdr:nvSpPr>
      <xdr:spPr>
        <a:xfrm>
          <a:off x="10622999" y="1236819"/>
          <a:ext cx="1803224" cy="7885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9050">
          <a:solidFill>
            <a:srgbClr val="1A355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2">
                  <a:lumMod val="75000"/>
                </a:schemeClr>
              </a:solidFill>
            </a:rPr>
            <a:t>         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TOP PRODUCT</a:t>
          </a:r>
        </a:p>
        <a:p>
          <a:pPr algn="l"/>
          <a:r>
            <a:rPr lang="en-IN" sz="1600" b="0" baseline="0">
              <a:solidFill>
                <a:schemeClr val="tx2">
                  <a:lumMod val="75000"/>
                </a:schemeClr>
              </a:solidFill>
            </a:rPr>
            <a:t>  </a:t>
          </a:r>
          <a:r>
            <a:rPr lang="en-IN" sz="1800" b="0" baseline="0">
              <a:solidFill>
                <a:schemeClr val="tx2">
                  <a:lumMod val="75000"/>
                </a:schemeClr>
              </a:solidFill>
            </a:rPr>
            <a:t>CANON COP</a:t>
          </a:r>
          <a:r>
            <a:rPr lang="en-IN" sz="1800" b="0" baseline="0">
              <a:solidFill>
                <a:srgbClr val="1A355E"/>
              </a:solidFill>
            </a:rPr>
            <a:t>IER</a:t>
          </a:r>
          <a:endParaRPr lang="en-IN" sz="1800" b="0" baseline="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20</xdr:col>
      <xdr:colOff>500690</xdr:colOff>
      <xdr:row>5</xdr:row>
      <xdr:rowOff>68751</xdr:rowOff>
    </xdr:from>
    <xdr:to>
      <xdr:col>24</xdr:col>
      <xdr:colOff>135003</xdr:colOff>
      <xdr:row>8</xdr:row>
      <xdr:rowOff>59025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AF8D52E-3DC6-4858-A2D9-372E52B83A8F}"/>
            </a:ext>
          </a:extLst>
        </xdr:cNvPr>
        <xdr:cNvSpPr/>
      </xdr:nvSpPr>
      <xdr:spPr>
        <a:xfrm>
          <a:off x="12595928" y="1229894"/>
          <a:ext cx="2053361" cy="78856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9050">
          <a:solidFill>
            <a:srgbClr val="C00000"/>
          </a:solidFill>
        </a:ln>
        <a:effectLst>
          <a:outerShdw blurRad="50800" dist="38100" dir="2700000" algn="tl" rotWithShape="0">
            <a:srgbClr val="F01818">
              <a:alpha val="4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>
              <a:solidFill>
                <a:schemeClr val="bg1">
                  <a:lumMod val="50000"/>
                </a:schemeClr>
              </a:solidFill>
            </a:rPr>
            <a:t>   </a:t>
          </a:r>
          <a:r>
            <a:rPr lang="en-IN" sz="1100" b="1">
              <a:solidFill>
                <a:schemeClr val="bg1">
                  <a:lumMod val="50000"/>
                </a:schemeClr>
              </a:solidFill>
            </a:rPr>
            <a:t>LOWEST MARGIN CATEGORY</a:t>
          </a:r>
        </a:p>
        <a:p>
          <a:pPr algn="l"/>
          <a:r>
            <a:rPr lang="en-IN" sz="1900">
              <a:solidFill>
                <a:schemeClr val="tx2">
                  <a:lumMod val="75000"/>
                </a:schemeClr>
              </a:solidFill>
            </a:rPr>
            <a:t>   Furniture 2.32%</a:t>
          </a:r>
          <a:r>
            <a:rPr lang="en-IN" sz="1900" baseline="0">
              <a:solidFill>
                <a:schemeClr val="tx2">
                  <a:lumMod val="75000"/>
                </a:schemeClr>
              </a:solidFill>
            </a:rPr>
            <a:t> </a:t>
          </a:r>
        </a:p>
      </xdr:txBody>
    </xdr:sp>
    <xdr:clientData/>
  </xdr:twoCellAnchor>
  <xdr:twoCellAnchor>
    <xdr:from>
      <xdr:col>11</xdr:col>
      <xdr:colOff>304694</xdr:colOff>
      <xdr:row>1</xdr:row>
      <xdr:rowOff>36111</xdr:rowOff>
    </xdr:from>
    <xdr:to>
      <xdr:col>20</xdr:col>
      <xdr:colOff>278862</xdr:colOff>
      <xdr:row>3</xdr:row>
      <xdr:rowOff>139434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6DB4401-EB97-49B0-DD81-CF70FD582986}"/>
            </a:ext>
          </a:extLst>
        </xdr:cNvPr>
        <xdr:cNvSpPr/>
      </xdr:nvSpPr>
      <xdr:spPr>
        <a:xfrm>
          <a:off x="6976082" y="222723"/>
          <a:ext cx="5432576" cy="6631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50800" dir="5400000" algn="ctr" rotWithShape="0">
            <a:srgbClr val="91A6F1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</a:t>
          </a:r>
          <a:r>
            <a:rPr lang="en-IN" sz="3600" b="1">
              <a:solidFill>
                <a:srgbClr val="0070C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Retail Sales Dashboard</a:t>
          </a:r>
          <a:endParaRPr lang="en-IN" sz="3600">
            <a:solidFill>
              <a:srgbClr val="0070C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N" sz="3200" b="1">
            <a:solidFill>
              <a:schemeClr val="accent5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8</xdr:col>
      <xdr:colOff>480809</xdr:colOff>
      <xdr:row>49</xdr:row>
      <xdr:rowOff>20916</xdr:rowOff>
    </xdr:from>
    <xdr:to>
      <xdr:col>24</xdr:col>
      <xdr:colOff>297580</xdr:colOff>
      <xdr:row>67</xdr:row>
      <xdr:rowOff>124059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7830274-ED23-462F-F12F-870FED0DF5CF}"/>
            </a:ext>
          </a:extLst>
        </xdr:cNvPr>
        <xdr:cNvSpPr/>
      </xdr:nvSpPr>
      <xdr:spPr>
        <a:xfrm>
          <a:off x="5357609" y="9942156"/>
          <a:ext cx="9570371" cy="3394983"/>
        </a:xfrm>
        <a:prstGeom prst="roundRect">
          <a:avLst/>
        </a:prstGeom>
        <a:solidFill>
          <a:schemeClr val="bg1"/>
        </a:solidFill>
        <a:ln w="25400">
          <a:solidFill>
            <a:srgbClr val="1F4E7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1">
                  <a:lumMod val="75000"/>
                </a:schemeClr>
              </a:solidFill>
            </a:rPr>
            <a:t>   KEY INSIGHTS</a:t>
          </a:r>
        </a:p>
        <a:p>
          <a:pPr algn="l"/>
          <a:r>
            <a:rPr lang="en-IN" sz="1800" b="1">
              <a:solidFill>
                <a:schemeClr val="tx1">
                  <a:lumMod val="65000"/>
                  <a:lumOff val="35000"/>
                </a:schemeClr>
              </a:solidFill>
            </a:rPr>
            <a:t>✓ Revenue Distribution by Region shows West as the highest revenue-generating region.</a:t>
          </a:r>
        </a:p>
        <a:p>
          <a:pPr algn="l"/>
          <a:endParaRPr lang="en-IN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IN" sz="1800" b="1">
              <a:solidFill>
                <a:schemeClr val="tx1">
                  <a:lumMod val="65000"/>
                  <a:lumOff val="35000"/>
                </a:schemeClr>
              </a:solidFill>
            </a:rPr>
            <a:t>✓ Canon Copier leads the Top 10 Products by Sales.</a:t>
          </a:r>
        </a:p>
        <a:p>
          <a:pPr algn="l"/>
          <a:endParaRPr lang="en-IN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IN" sz="1800" b="1">
              <a:solidFill>
                <a:schemeClr val="tx1">
                  <a:lumMod val="65000"/>
                  <a:lumOff val="35000"/>
                </a:schemeClr>
              </a:solidFill>
            </a:rPr>
            <a:t>✓ Consumer customers contribute the highest sales in Sales &amp; Profit by Customer Segment.</a:t>
          </a:r>
        </a:p>
        <a:p>
          <a:pPr algn="l"/>
          <a:endParaRPr lang="en-IN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IN" sz="1800" b="1">
              <a:solidFill>
                <a:schemeClr val="tx1">
                  <a:lumMod val="65000"/>
                  <a:lumOff val="35000"/>
                </a:schemeClr>
              </a:solidFill>
            </a:rPr>
            <a:t>✓ Technology generates the highest profit in Sales &amp; Profit by Product Category.</a:t>
          </a:r>
        </a:p>
        <a:p>
          <a:pPr algn="l"/>
          <a:endParaRPr lang="en-IN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IN" sz="1800" b="1">
              <a:solidFill>
                <a:schemeClr val="tx1">
                  <a:lumMod val="65000"/>
                  <a:lumOff val="35000"/>
                </a:schemeClr>
              </a:solidFill>
            </a:rPr>
            <a:t>✓ Furniture records the lowest profit margin in Profit Margin by Category.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7B57-28D3-45FF-AA06-809106AAB01D}">
  <dimension ref="A1:B5"/>
  <sheetViews>
    <sheetView workbookViewId="0">
      <selection sqref="A1:B1"/>
    </sheetView>
  </sheetViews>
  <sheetFormatPr defaultRowHeight="14.4" x14ac:dyDescent="0.3"/>
  <cols>
    <col min="2" max="2" width="14.109375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t="s">
        <v>2</v>
      </c>
      <c r="B2">
        <v>713471.45</v>
      </c>
    </row>
    <row r="3" spans="1:2" x14ac:dyDescent="0.3">
      <c r="A3" t="s">
        <v>3</v>
      </c>
      <c r="B3">
        <v>672194.15</v>
      </c>
    </row>
    <row r="4" spans="1:2" x14ac:dyDescent="0.3">
      <c r="A4" t="s">
        <v>4</v>
      </c>
      <c r="B4">
        <v>497800.88</v>
      </c>
    </row>
    <row r="5" spans="1:2" x14ac:dyDescent="0.3">
      <c r="A5" t="s">
        <v>5</v>
      </c>
      <c r="B5">
        <v>388983.59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7A00-41D6-4822-AB0D-84FB4518A5D1}">
  <dimension ref="A1:B11"/>
  <sheetViews>
    <sheetView workbookViewId="0">
      <selection sqref="A1:B1"/>
    </sheetView>
  </sheetViews>
  <sheetFormatPr defaultRowHeight="14.4" x14ac:dyDescent="0.3"/>
  <cols>
    <col min="1" max="1" width="71.33203125" customWidth="1"/>
    <col min="2" max="2" width="11.5546875" customWidth="1"/>
  </cols>
  <sheetData>
    <row r="1" spans="1:2" x14ac:dyDescent="0.3">
      <c r="A1" s="4" t="s">
        <v>6</v>
      </c>
      <c r="B1" s="4" t="s">
        <v>7</v>
      </c>
    </row>
    <row r="2" spans="1:2" x14ac:dyDescent="0.3">
      <c r="A2" t="s">
        <v>8</v>
      </c>
      <c r="B2">
        <v>61599.83</v>
      </c>
    </row>
    <row r="3" spans="1:2" x14ac:dyDescent="0.3">
      <c r="A3" t="s">
        <v>9</v>
      </c>
      <c r="B3">
        <v>27453.38</v>
      </c>
    </row>
    <row r="4" spans="1:2" x14ac:dyDescent="0.3">
      <c r="A4" t="s">
        <v>10</v>
      </c>
      <c r="B4">
        <v>22638.48</v>
      </c>
    </row>
    <row r="5" spans="1:2" x14ac:dyDescent="0.3">
      <c r="A5" t="s">
        <v>11</v>
      </c>
      <c r="B5">
        <v>21870.57</v>
      </c>
    </row>
    <row r="6" spans="1:2" x14ac:dyDescent="0.3">
      <c r="A6" t="s">
        <v>12</v>
      </c>
      <c r="B6">
        <v>19823.48</v>
      </c>
    </row>
    <row r="7" spans="1:2" x14ac:dyDescent="0.3">
      <c r="A7" t="s">
        <v>13</v>
      </c>
      <c r="B7">
        <v>19024.5</v>
      </c>
    </row>
    <row r="8" spans="1:2" x14ac:dyDescent="0.3">
      <c r="A8" t="s">
        <v>14</v>
      </c>
      <c r="B8">
        <v>18839.68</v>
      </c>
    </row>
    <row r="9" spans="1:2" x14ac:dyDescent="0.3">
      <c r="A9" t="s">
        <v>15</v>
      </c>
      <c r="B9">
        <v>18374.900000000001</v>
      </c>
    </row>
    <row r="10" spans="1:2" x14ac:dyDescent="0.3">
      <c r="A10" t="s">
        <v>16</v>
      </c>
      <c r="B10">
        <v>17965.07</v>
      </c>
    </row>
    <row r="11" spans="1:2" x14ac:dyDescent="0.3">
      <c r="A11" t="s">
        <v>17</v>
      </c>
      <c r="B11">
        <v>17030.310000000001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9F42-3522-4F6E-89D5-AFDE73690359}">
  <dimension ref="A1:D4"/>
  <sheetViews>
    <sheetView workbookViewId="0">
      <selection activeCell="M10" sqref="M10"/>
    </sheetView>
  </sheetViews>
  <sheetFormatPr defaultRowHeight="14.4" x14ac:dyDescent="0.3"/>
  <cols>
    <col min="1" max="1" width="14" customWidth="1"/>
    <col min="2" max="2" width="12.21875" customWidth="1"/>
    <col min="3" max="3" width="13" customWidth="1"/>
    <col min="4" max="4" width="15.5546875" customWidth="1"/>
  </cols>
  <sheetData>
    <row r="1" spans="1:4" x14ac:dyDescent="0.3">
      <c r="A1" s="4" t="s">
        <v>18</v>
      </c>
      <c r="B1" s="4" t="s">
        <v>7</v>
      </c>
      <c r="C1" s="4" t="s">
        <v>19</v>
      </c>
      <c r="D1" s="4" t="s">
        <v>27</v>
      </c>
    </row>
    <row r="2" spans="1:4" x14ac:dyDescent="0.3">
      <c r="A2" t="s">
        <v>20</v>
      </c>
      <c r="B2">
        <v>835900.14</v>
      </c>
      <c r="C2">
        <v>145387.81</v>
      </c>
      <c r="D2" s="5">
        <f>(C2/B2)*100</f>
        <v>17.392963949019077</v>
      </c>
    </row>
    <row r="3" spans="1:4" x14ac:dyDescent="0.3">
      <c r="A3" t="s">
        <v>21</v>
      </c>
      <c r="B3">
        <v>733047.06</v>
      </c>
      <c r="C3">
        <v>16980.72</v>
      </c>
      <c r="D3" s="5">
        <f t="shared" ref="D3:D4" si="0">(C3/B3)*100</f>
        <v>2.3164570089129066</v>
      </c>
    </row>
    <row r="4" spans="1:4" x14ac:dyDescent="0.3">
      <c r="A4" t="s">
        <v>22</v>
      </c>
      <c r="B4">
        <v>703502.87</v>
      </c>
      <c r="C4">
        <v>120489.93</v>
      </c>
      <c r="D4" s="5">
        <f t="shared" si="0"/>
        <v>17.127141215500654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5CDD-DF30-4158-8670-C1215739B62C}">
  <dimension ref="A1:C4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11.33203125" customWidth="1"/>
    <col min="3" max="3" width="11.77734375" customWidth="1"/>
  </cols>
  <sheetData>
    <row r="1" spans="1:3" x14ac:dyDescent="0.3">
      <c r="A1" s="4" t="s">
        <v>23</v>
      </c>
      <c r="B1" s="4" t="s">
        <v>7</v>
      </c>
      <c r="C1" s="4" t="s">
        <v>19</v>
      </c>
    </row>
    <row r="2" spans="1:3" x14ac:dyDescent="0.3">
      <c r="A2" t="s">
        <v>24</v>
      </c>
      <c r="B2">
        <v>1150166.18</v>
      </c>
      <c r="C2">
        <v>132669.88</v>
      </c>
    </row>
    <row r="3" spans="1:3" x14ac:dyDescent="0.3">
      <c r="A3" t="s">
        <v>25</v>
      </c>
      <c r="B3">
        <v>696604.6</v>
      </c>
      <c r="C3">
        <v>90366.57</v>
      </c>
    </row>
    <row r="4" spans="1:3" x14ac:dyDescent="0.3">
      <c r="A4" t="s">
        <v>26</v>
      </c>
      <c r="B4">
        <v>425679.29</v>
      </c>
      <c r="C4">
        <v>59822.01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9102-F1A7-40B8-A467-75AC352EEC20}">
  <sheetPr>
    <tabColor rgb="FF1A355E"/>
  </sheetPr>
  <dimension ref="B2:AQ20"/>
  <sheetViews>
    <sheetView tabSelected="1" zoomScale="56" zoomScaleNormal="59" workbookViewId="0">
      <selection activeCell="BA36" sqref="BA36"/>
    </sheetView>
  </sheetViews>
  <sheetFormatPr defaultRowHeight="14.4" x14ac:dyDescent="0.3"/>
  <cols>
    <col min="1" max="16384" width="8.88671875" style="1"/>
  </cols>
  <sheetData>
    <row r="2" spans="2:43" ht="28.8" x14ac:dyDescent="0.55000000000000004">
      <c r="B2" s="6"/>
      <c r="C2" s="7"/>
      <c r="D2" s="7"/>
      <c r="E2" s="7"/>
      <c r="F2" s="7"/>
      <c r="G2" s="6"/>
      <c r="H2" s="7"/>
      <c r="I2" s="7"/>
      <c r="J2" s="7"/>
      <c r="K2" s="7"/>
      <c r="L2" s="7"/>
    </row>
    <row r="3" spans="2:43" x14ac:dyDescent="0.3">
      <c r="B3" s="8"/>
      <c r="E3" s="8"/>
    </row>
    <row r="4" spans="2:43" ht="20.399999999999999" x14ac:dyDescent="0.35">
      <c r="B4" s="2"/>
    </row>
    <row r="6" spans="2:43" x14ac:dyDescent="0.3">
      <c r="B6" s="8"/>
      <c r="D6" s="9"/>
      <c r="E6" s="8"/>
      <c r="H6" s="8"/>
      <c r="K6" s="8"/>
      <c r="L6" s="8"/>
      <c r="M6" s="8"/>
      <c r="P6" s="8"/>
      <c r="Q6" s="8"/>
      <c r="R6" s="8"/>
      <c r="Y6" s="8"/>
    </row>
    <row r="7" spans="2:43" ht="28.8" x14ac:dyDescent="0.55000000000000004">
      <c r="C7" s="2"/>
      <c r="E7" s="2"/>
      <c r="F7" s="8"/>
      <c r="H7" s="2"/>
      <c r="J7" s="8"/>
      <c r="M7" s="3"/>
      <c r="N7" s="8"/>
      <c r="P7" s="3"/>
      <c r="Q7" s="3"/>
      <c r="R7" s="8"/>
      <c r="T7" s="6"/>
      <c r="U7" s="7"/>
      <c r="V7" s="7"/>
      <c r="W7" s="7"/>
      <c r="X7" s="7"/>
      <c r="Y7" s="2"/>
    </row>
    <row r="8" spans="2:43" ht="20.399999999999999" x14ac:dyDescent="0.35">
      <c r="F8" s="2"/>
      <c r="J8" s="2"/>
      <c r="N8" s="3"/>
      <c r="R8" s="3"/>
      <c r="S8" s="3"/>
      <c r="V8" s="8"/>
      <c r="W8" s="8"/>
    </row>
    <row r="9" spans="2:43" ht="17.399999999999999" x14ac:dyDescent="0.3">
      <c r="V9" s="3"/>
    </row>
    <row r="10" spans="2:43" x14ac:dyDescent="0.3">
      <c r="X10" s="8"/>
    </row>
    <row r="11" spans="2:43" ht="28.8" x14ac:dyDescent="0.55000000000000004">
      <c r="V11" s="6"/>
      <c r="W11" s="7"/>
      <c r="X11" s="2"/>
      <c r="Z11" s="7"/>
      <c r="AA11" s="7"/>
      <c r="AB11" s="2"/>
      <c r="AC11" s="8"/>
      <c r="AE11" s="2"/>
      <c r="AG11" s="8"/>
      <c r="AJ11" s="3"/>
      <c r="AK11" s="8"/>
      <c r="AM11" s="3"/>
      <c r="AN11" s="3"/>
      <c r="AO11" s="8"/>
      <c r="AQ11" s="6"/>
    </row>
    <row r="12" spans="2:43" ht="20.399999999999999" x14ac:dyDescent="0.35">
      <c r="AC12" s="2"/>
      <c r="AG12" s="2"/>
      <c r="AK12" s="3"/>
      <c r="AO12" s="3"/>
      <c r="AP12" s="3"/>
    </row>
    <row r="14" spans="2:43" x14ac:dyDescent="0.3">
      <c r="X14" s="8"/>
    </row>
    <row r="15" spans="2:43" ht="17.399999999999999" x14ac:dyDescent="0.3">
      <c r="X15" s="3"/>
    </row>
    <row r="17" spans="23:25" x14ac:dyDescent="0.3">
      <c r="X17" s="8"/>
    </row>
    <row r="18" spans="23:25" ht="17.399999999999999" x14ac:dyDescent="0.3">
      <c r="W18" s="3"/>
      <c r="X18" s="8"/>
    </row>
    <row r="19" spans="23:25" x14ac:dyDescent="0.3">
      <c r="X19" s="8"/>
      <c r="Y19" s="8"/>
    </row>
    <row r="20" spans="23:25" ht="17.399999999999999" x14ac:dyDescent="0.3">
      <c r="X20" s="3"/>
      <c r="Y2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Products</vt:lpstr>
      <vt:lpstr>Category</vt:lpstr>
      <vt:lpstr>Segment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Gowda</dc:creator>
  <cp:lastModifiedBy>Sindhu Gowda</cp:lastModifiedBy>
  <dcterms:created xsi:type="dcterms:W3CDTF">2026-06-11T12:00:24Z</dcterms:created>
  <dcterms:modified xsi:type="dcterms:W3CDTF">2026-06-12T17:26:02Z</dcterms:modified>
</cp:coreProperties>
</file>